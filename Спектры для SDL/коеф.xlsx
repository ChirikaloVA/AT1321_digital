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M_proj\SPRD2_5\Спектры для SDL\"/>
    </mc:Choice>
  </mc:AlternateContent>
  <xr:revisionPtr revIDLastSave="0" documentId="13_ncr:1_{13778A47-8C77-48C0-B848-AE7778777115}" xr6:coauthVersionLast="47" xr6:coauthVersionMax="47" xr10:uidLastSave="{00000000-0000-0000-0000-000000000000}"/>
  <bookViews>
    <workbookView xWindow="-108" yWindow="-108" windowWidth="15576" windowHeight="11904" xr2:uid="{38CA246D-B91C-43A7-9371-8EF17DAE711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Q3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4" i="1"/>
  <c r="R2" i="1"/>
  <c r="Q10" i="1"/>
  <c r="Q11" i="1"/>
  <c r="Q12" i="1"/>
  <c r="Q13" i="1"/>
  <c r="Q14" i="1"/>
  <c r="Q15" i="1"/>
  <c r="Q16" i="1"/>
  <c r="Q17" i="1"/>
  <c r="Q18" i="1"/>
  <c r="Q19" i="1"/>
  <c r="Q20" i="1"/>
  <c r="Q5" i="1"/>
  <c r="Q6" i="1"/>
  <c r="Q7" i="1"/>
  <c r="Q8" i="1"/>
  <c r="Q9" i="1"/>
  <c r="Q4" i="1"/>
  <c r="E6" i="1"/>
  <c r="N8" i="1" s="1"/>
  <c r="N19" i="1" l="1"/>
  <c r="N7" i="1"/>
  <c r="E7" i="1"/>
  <c r="N18" i="1"/>
  <c r="N14" i="1"/>
  <c r="N10" i="1"/>
  <c r="N6" i="1"/>
  <c r="N11" i="1"/>
  <c r="N4" i="1"/>
  <c r="N17" i="1"/>
  <c r="N13" i="1"/>
  <c r="N9" i="1"/>
  <c r="N5" i="1"/>
  <c r="N15" i="1"/>
  <c r="N20" i="1"/>
  <c r="N16" i="1"/>
  <c r="N12" i="1"/>
  <c r="J19" i="1" l="1"/>
  <c r="J7" i="1"/>
  <c r="J11" i="1"/>
  <c r="J15" i="1"/>
  <c r="J20" i="1"/>
  <c r="J8" i="1"/>
  <c r="J16" i="1"/>
  <c r="J4" i="1"/>
  <c r="J10" i="1"/>
  <c r="J12" i="1"/>
  <c r="J18" i="1"/>
  <c r="J5" i="1"/>
  <c r="J9" i="1"/>
  <c r="J13" i="1"/>
  <c r="J17" i="1"/>
  <c r="J6" i="1"/>
  <c r="J14" i="1"/>
</calcChain>
</file>

<file path=xl/sharedStrings.xml><?xml version="1.0" encoding="utf-8"?>
<sst xmlns="http://schemas.openxmlformats.org/spreadsheetml/2006/main" count="21" uniqueCount="21">
  <si>
    <t>Множитель 1 =</t>
  </si>
  <si>
    <t>Множитель 2 =</t>
  </si>
  <si>
    <t>произведение =</t>
  </si>
  <si>
    <t>коефф дел =</t>
  </si>
  <si>
    <t>к1</t>
  </si>
  <si>
    <t>к2</t>
  </si>
  <si>
    <t>к3</t>
  </si>
  <si>
    <t>к4</t>
  </si>
  <si>
    <t>к5</t>
  </si>
  <si>
    <t>к6</t>
  </si>
  <si>
    <t>к7</t>
  </si>
  <si>
    <t>к8</t>
  </si>
  <si>
    <t>к9</t>
  </si>
  <si>
    <t>к10</t>
  </si>
  <si>
    <t>к11</t>
  </si>
  <si>
    <t>к12</t>
  </si>
  <si>
    <t>к13</t>
  </si>
  <si>
    <t>к14</t>
  </si>
  <si>
    <t>к15</t>
  </si>
  <si>
    <t>к16</t>
  </si>
  <si>
    <t>к17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</si>
</sst>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20CFC-6645-4558-8210-93BEC1627EEE}">
  <dimension ref="D2:R20"/>
  <sheetViews>
    <sheetView tabSelected="1" topLeftCell="E1" workbookViewId="0">
      <selection activeCell="R4" sqref="R4"/>
    </sheetView>
  </sheetViews>
  <sheetFormatPr defaultRowHeight="14.4" x14ac:dyDescent="0.3"/>
  <cols>
    <col min="4" max="4" width="16" customWidth="1"/>
    <col min="5" max="5" width="12" bestFit="1" customWidth="1"/>
    <col min="13" max="13" width="9.109375"/>
    <col min="14" max="14" width="9.5546875" bestFit="1" customWidth="1"/>
    <col min="17" max="17" width="11" bestFit="1" customWidth="1"/>
    <col min="18" max="18" width="12.109375" customWidth="1"/>
  </cols>
  <sheetData>
    <row r="2" spans="4:18" x14ac:dyDescent="0.3">
      <c r="P2">
        <v>99342</v>
      </c>
      <c r="R2" t="str">
        <f xml:space="preserve"> DEC2HEX(P2)</f>
        <v>1840E</v>
      </c>
    </row>
    <row r="3" spans="4:18" x14ac:dyDescent="0.3">
      <c r="Q3">
        <f>P2*P2</f>
        <v>9868832964</v>
      </c>
      <c r="R3" t="str">
        <f xml:space="preserve"> DEC2HEX(Q3)</f>
        <v>24C3A70C4</v>
      </c>
    </row>
    <row r="4" spans="4:18" x14ac:dyDescent="0.3">
      <c r="D4" t="s">
        <v>0</v>
      </c>
      <c r="E4">
        <v>33443</v>
      </c>
      <c r="H4" t="s">
        <v>4</v>
      </c>
      <c r="I4">
        <v>8299</v>
      </c>
      <c r="J4">
        <f>I4*$E$7</f>
        <v>7.4201948012770482E-6</v>
      </c>
      <c r="M4" s="1">
        <v>8.9099999999999997E-4</v>
      </c>
      <c r="N4" s="2">
        <f>M4*$E$6</f>
        <v>996524.91585899994</v>
      </c>
      <c r="P4">
        <v>986895</v>
      </c>
      <c r="Q4">
        <f>(1/($P$2*$P$2))*P4</f>
        <v>1.0000118591529948E-4</v>
      </c>
      <c r="R4" t="str">
        <f>DEC2HEX(P4)</f>
        <v>F0F0F</v>
      </c>
    </row>
    <row r="5" spans="4:18" x14ac:dyDescent="0.3">
      <c r="D5" t="s">
        <v>1</v>
      </c>
      <c r="E5">
        <v>33443</v>
      </c>
      <c r="H5" t="s">
        <v>5</v>
      </c>
      <c r="I5">
        <v>2514</v>
      </c>
      <c r="J5">
        <f t="shared" ref="J5:J20" si="0">I5*$E$7</f>
        <v>2.247785242849801E-6</v>
      </c>
      <c r="M5" s="1">
        <v>2.7E-4</v>
      </c>
      <c r="N5" s="2">
        <f t="shared" ref="N5:N20" si="1">M5*$E$6</f>
        <v>301977.24722999998</v>
      </c>
      <c r="P5">
        <v>1973790</v>
      </c>
      <c r="Q5">
        <f t="shared" ref="Q5:Q20" si="2">(1/($P$2*$P$2))*P5</f>
        <v>2.0000237183059896E-4</v>
      </c>
      <c r="R5" t="str">
        <f t="shared" ref="R5:R20" si="3">DEC2HEX(P5)</f>
        <v>1E1E1E</v>
      </c>
    </row>
    <row r="6" spans="4:18" x14ac:dyDescent="0.3">
      <c r="D6" t="s">
        <v>2</v>
      </c>
      <c r="E6">
        <f>E4*E5</f>
        <v>1118434249</v>
      </c>
      <c r="H6" t="s">
        <v>6</v>
      </c>
      <c r="I6">
        <v>2701</v>
      </c>
      <c r="J6">
        <f t="shared" si="0"/>
        <v>2.4149832700625748E-6</v>
      </c>
      <c r="M6" s="1">
        <v>2.9E-4</v>
      </c>
      <c r="N6" s="2">
        <f t="shared" si="1"/>
        <v>324345.93221</v>
      </c>
      <c r="P6">
        <v>2960685</v>
      </c>
      <c r="Q6">
        <f t="shared" si="2"/>
        <v>3.0000355774589842E-4</v>
      </c>
      <c r="R6" t="str">
        <f t="shared" si="3"/>
        <v>2D2D2D</v>
      </c>
    </row>
    <row r="7" spans="4:18" x14ac:dyDescent="0.3">
      <c r="D7" t="s">
        <v>3</v>
      </c>
      <c r="E7">
        <f>1/E6</f>
        <v>8.9410709739451118E-10</v>
      </c>
      <c r="H7" t="s">
        <v>7</v>
      </c>
      <c r="I7">
        <v>2825</v>
      </c>
      <c r="J7">
        <f t="shared" si="0"/>
        <v>2.5258525501394939E-6</v>
      </c>
      <c r="M7" s="1">
        <v>3.033E-4</v>
      </c>
      <c r="N7" s="2">
        <f t="shared" si="1"/>
        <v>339221.10772169998</v>
      </c>
      <c r="P7">
        <v>3947580</v>
      </c>
      <c r="Q7">
        <f t="shared" si="2"/>
        <v>4.0000474366119792E-4</v>
      </c>
      <c r="R7" t="str">
        <f t="shared" si="3"/>
        <v>3C3C3C</v>
      </c>
    </row>
    <row r="8" spans="4:18" x14ac:dyDescent="0.3">
      <c r="H8" t="s">
        <v>8</v>
      </c>
      <c r="I8">
        <v>3122</v>
      </c>
      <c r="J8">
        <f t="shared" si="0"/>
        <v>2.7914023580656641E-6</v>
      </c>
      <c r="M8" s="1">
        <v>3.3520000000000002E-4</v>
      </c>
      <c r="N8" s="2">
        <f t="shared" si="1"/>
        <v>374899.16026480001</v>
      </c>
      <c r="P8">
        <v>4934475</v>
      </c>
      <c r="Q8">
        <f t="shared" si="2"/>
        <v>5.0000592957649736E-4</v>
      </c>
      <c r="R8" t="str">
        <f t="shared" si="3"/>
        <v>4B4B4B</v>
      </c>
    </row>
    <row r="9" spans="4:18" x14ac:dyDescent="0.3">
      <c r="H9" t="s">
        <v>9</v>
      </c>
      <c r="I9">
        <v>2190</v>
      </c>
      <c r="J9">
        <f t="shared" si="0"/>
        <v>1.9580945432939795E-6</v>
      </c>
      <c r="M9" s="1">
        <v>2.352E-4</v>
      </c>
      <c r="N9" s="2">
        <f t="shared" si="1"/>
        <v>263055.73536479997</v>
      </c>
      <c r="P9">
        <v>5921370</v>
      </c>
      <c r="Q9">
        <f t="shared" si="2"/>
        <v>6.0000711549179685E-4</v>
      </c>
      <c r="R9" t="str">
        <f t="shared" si="3"/>
        <v>5A5A5A</v>
      </c>
    </row>
    <row r="10" spans="4:18" x14ac:dyDescent="0.3">
      <c r="H10" t="s">
        <v>10</v>
      </c>
      <c r="I10">
        <v>4866</v>
      </c>
      <c r="J10">
        <f t="shared" si="0"/>
        <v>4.3507251359216912E-6</v>
      </c>
      <c r="M10" s="1">
        <v>5.2249999999999996E-4</v>
      </c>
      <c r="N10" s="2">
        <f t="shared" si="1"/>
        <v>584381.89510249998</v>
      </c>
      <c r="P10">
        <v>6908265</v>
      </c>
      <c r="Q10">
        <f t="shared" si="2"/>
        <v>7.0000830140709634E-4</v>
      </c>
      <c r="R10" t="str">
        <f t="shared" si="3"/>
        <v>696969</v>
      </c>
    </row>
    <row r="11" spans="4:18" x14ac:dyDescent="0.3">
      <c r="H11" t="s">
        <v>11</v>
      </c>
      <c r="I11">
        <v>7730</v>
      </c>
      <c r="J11">
        <f t="shared" si="0"/>
        <v>6.9114478628595714E-6</v>
      </c>
      <c r="M11" s="1">
        <v>8.2989999999999995E-4</v>
      </c>
      <c r="N11" s="2">
        <f t="shared" si="1"/>
        <v>928188.58324509999</v>
      </c>
      <c r="P11">
        <v>7895160</v>
      </c>
      <c r="Q11">
        <f t="shared" si="2"/>
        <v>8.0000948732239583E-4</v>
      </c>
      <c r="R11" t="str">
        <f t="shared" si="3"/>
        <v>787878</v>
      </c>
    </row>
    <row r="12" spans="4:18" x14ac:dyDescent="0.3">
      <c r="H12" t="s">
        <v>12</v>
      </c>
      <c r="I12">
        <v>11857</v>
      </c>
      <c r="J12">
        <f t="shared" si="0"/>
        <v>1.0601427853806719E-5</v>
      </c>
      <c r="M12" s="1">
        <v>1.273E-3</v>
      </c>
      <c r="N12" s="2">
        <f t="shared" si="1"/>
        <v>1423766.7989769999</v>
      </c>
      <c r="P12">
        <v>8882055</v>
      </c>
      <c r="Q12">
        <f t="shared" si="2"/>
        <v>9.0001067323769533E-4</v>
      </c>
      <c r="R12" t="str">
        <f t="shared" si="3"/>
        <v>878787</v>
      </c>
    </row>
    <row r="13" spans="4:18" x14ac:dyDescent="0.3">
      <c r="H13" t="s">
        <v>13</v>
      </c>
      <c r="I13">
        <v>17371</v>
      </c>
      <c r="J13">
        <f t="shared" si="0"/>
        <v>1.5531534388840054E-5</v>
      </c>
      <c r="M13" s="1">
        <v>1.8649999999999999E-3</v>
      </c>
      <c r="N13" s="2">
        <f t="shared" si="1"/>
        <v>2085879.874385</v>
      </c>
      <c r="P13">
        <v>9868950</v>
      </c>
      <c r="Q13">
        <f t="shared" si="2"/>
        <v>1.0000118591529947E-3</v>
      </c>
      <c r="R13" t="str">
        <f t="shared" si="3"/>
        <v>969696</v>
      </c>
    </row>
    <row r="14" spans="4:18" x14ac:dyDescent="0.3">
      <c r="H14" t="s">
        <v>14</v>
      </c>
      <c r="I14">
        <v>24218</v>
      </c>
      <c r="J14">
        <f t="shared" si="0"/>
        <v>2.1653485684700273E-5</v>
      </c>
      <c r="M14" s="1">
        <v>2.5999999999999999E-3</v>
      </c>
      <c r="N14" s="2">
        <f t="shared" si="1"/>
        <v>2907929.0474</v>
      </c>
      <c r="P14">
        <v>10855845</v>
      </c>
      <c r="Q14">
        <f t="shared" si="2"/>
        <v>1.1000130450682943E-3</v>
      </c>
      <c r="R14" t="str">
        <f t="shared" si="3"/>
        <v>A5A5A5</v>
      </c>
    </row>
    <row r="15" spans="4:18" x14ac:dyDescent="0.3">
      <c r="H15" t="s">
        <v>15</v>
      </c>
      <c r="I15">
        <v>33905</v>
      </c>
      <c r="J15">
        <f t="shared" si="0"/>
        <v>3.0314701137160901E-5</v>
      </c>
      <c r="M15" s="1">
        <v>3.64E-3</v>
      </c>
      <c r="N15" s="2">
        <f t="shared" si="1"/>
        <v>4071100.6663600001</v>
      </c>
      <c r="P15">
        <v>11842740</v>
      </c>
      <c r="Q15">
        <f t="shared" si="2"/>
        <v>1.2000142309835937E-3</v>
      </c>
      <c r="R15" t="str">
        <f t="shared" si="3"/>
        <v>B4B4B4</v>
      </c>
    </row>
    <row r="16" spans="4:18" x14ac:dyDescent="0.3">
      <c r="H16" t="s">
        <v>16</v>
      </c>
      <c r="I16">
        <v>45269</v>
      </c>
      <c r="J16">
        <f t="shared" si="0"/>
        <v>4.0475334191952128E-5</v>
      </c>
      <c r="M16" s="1">
        <v>4.8599999999999997E-3</v>
      </c>
      <c r="N16" s="2">
        <f t="shared" si="1"/>
        <v>5435590.4501399994</v>
      </c>
      <c r="P16">
        <v>12829635</v>
      </c>
      <c r="Q16">
        <f t="shared" si="2"/>
        <v>1.3000154168988933E-3</v>
      </c>
      <c r="R16" t="str">
        <f t="shared" si="3"/>
        <v>C3C3C3</v>
      </c>
    </row>
    <row r="17" spans="8:18" x14ac:dyDescent="0.3">
      <c r="H17" t="s">
        <v>17</v>
      </c>
      <c r="I17">
        <v>63805</v>
      </c>
      <c r="J17">
        <f t="shared" si="0"/>
        <v>5.7048503349256786E-5</v>
      </c>
      <c r="M17" s="1">
        <v>6.8500000000000002E-3</v>
      </c>
      <c r="N17" s="2">
        <f t="shared" si="1"/>
        <v>7661274.6056500003</v>
      </c>
      <c r="P17">
        <v>13816530</v>
      </c>
      <c r="Q17">
        <f t="shared" si="2"/>
        <v>1.4000166028141927E-3</v>
      </c>
      <c r="R17" t="str">
        <f t="shared" si="3"/>
        <v>D2D2D2</v>
      </c>
    </row>
    <row r="18" spans="8:18" x14ac:dyDescent="0.3">
      <c r="H18" t="s">
        <v>18</v>
      </c>
      <c r="I18">
        <v>73679</v>
      </c>
      <c r="J18">
        <f t="shared" si="0"/>
        <v>6.5876916828930189E-5</v>
      </c>
      <c r="M18" s="1">
        <v>7.9100000000000004E-3</v>
      </c>
      <c r="N18" s="2">
        <f t="shared" si="1"/>
        <v>8846814.9095900003</v>
      </c>
      <c r="P18">
        <v>14803425</v>
      </c>
      <c r="Q18">
        <f t="shared" si="2"/>
        <v>1.5000177887294923E-3</v>
      </c>
      <c r="R18" t="str">
        <f t="shared" si="3"/>
        <v>E1E1E1</v>
      </c>
    </row>
    <row r="19" spans="8:18" x14ac:dyDescent="0.3">
      <c r="H19" t="s">
        <v>19</v>
      </c>
      <c r="I19" s="2">
        <v>111776</v>
      </c>
      <c r="J19">
        <f t="shared" si="0"/>
        <v>9.9939714918368883E-5</v>
      </c>
      <c r="M19">
        <v>1.2E-2</v>
      </c>
      <c r="N19" s="2">
        <f t="shared" si="1"/>
        <v>13421210.988</v>
      </c>
      <c r="P19">
        <v>15790320</v>
      </c>
      <c r="Q19">
        <f t="shared" si="2"/>
        <v>1.6000189746447917E-3</v>
      </c>
      <c r="R19" t="str">
        <f t="shared" si="3"/>
        <v>F0F0F0</v>
      </c>
    </row>
    <row r="20" spans="8:18" x14ac:dyDescent="0.3">
      <c r="H20" t="s">
        <v>20</v>
      </c>
      <c r="I20">
        <v>139721</v>
      </c>
      <c r="J20">
        <f t="shared" si="0"/>
        <v>1.2492553775505849E-4</v>
      </c>
      <c r="M20">
        <v>1.4999999999999999E-2</v>
      </c>
      <c r="N20" s="2">
        <f t="shared" si="1"/>
        <v>16776513.734999999</v>
      </c>
      <c r="P20">
        <v>16777215</v>
      </c>
      <c r="Q20">
        <f t="shared" si="2"/>
        <v>1.7000201605600913E-3</v>
      </c>
      <c r="R20" t="str">
        <f t="shared" si="3"/>
        <v>FFFFFF</v>
      </c>
    </row>
  </sheetData>
  <phoneticPr fontId="1" type="noConversion"/>
  <pageMargins left="0.7" right="0.7" top="0.75" bottom="0.75" header="0.3" footer="0.3"/>
  <pageSetup paperSize="9" orientation="portrait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Владимир Чирикало</dc:creator>
  <cp:lastModifiedBy>Владимир Чирикало</cp:lastModifiedBy>
  <dcterms:created xsi:type="dcterms:W3CDTF">2025-04-15T11:06:02Z</dcterms:created>
  <dcterms:modified xsi:type="dcterms:W3CDTF">2025-05-07T19:41:25Z</dcterms:modified>
</cp:coreProperties>
</file>